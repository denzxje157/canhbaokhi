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2FF373B-C1F7-4698-9ABD-3B24FF35E88D}" xr6:coauthVersionLast="47" xr6:coauthVersionMax="47" xr10:uidLastSave="{00000000-0000-0000-0000-000000000000}"/>
  <bookViews>
    <workbookView xWindow="-96" yWindow="-96" windowWidth="23232" windowHeight="13992" tabRatio="500" xr2:uid="{00000000-000D-0000-FFFF-FFFF00000000}"/>
  </bookViews>
  <sheets>
    <sheet name="Muc A - Vat tu chinh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21" i="1" s="1"/>
</calcChain>
</file>

<file path=xl/sharedStrings.xml><?xml version="1.0" encoding="utf-8"?>
<sst xmlns="http://schemas.openxmlformats.org/spreadsheetml/2006/main" count="79" uniqueCount="49">
  <si>
    <t>PHẦN H.2 — MỤC A: VẬT TƯ CHÍNH CẤU THÀNH 01 THIẾT BỊ HOÀN CHỈNH (PHƯƠNG ÁN B) — v4</t>
  </si>
  <si>
    <t>Cập nhật so với v3: (1) Mục 9 đổi sang module sạc/bảo vệ 2S (BMS) + mạch hạ áp (buck) LM2596/MP1584 cho đúng với pin 2S 7,4V (bỏ TP4056 1S + MT3608 tăng áp vì không phù hợp). (2) Thêm 4 dòng vật tư lắp ráp cơ bản (dây điện, thiếc hàn, điện trở, ống co nhiệt) bị thiếu ở bản v3 — trước đó các thứ này chỉ nằm trong ngân sách dự phòng (Mục B) chứ chưa có để lắp bộ đầu tiên.</t>
  </si>
  <si>
    <t>STT</t>
  </si>
  <si>
    <t>Nội dung</t>
  </si>
  <si>
    <t>ĐVT</t>
  </si>
  <si>
    <t>SL</t>
  </si>
  <si>
    <t>Đơn giá (đ)</t>
  </si>
  <si>
    <t>Thành tiền (đ)</t>
  </si>
  <si>
    <t>Link mua</t>
  </si>
  <si>
    <t>Nguồn / Trạng thái link</t>
  </si>
  <si>
    <t>Kit vi điều khiển ESP32 NodeMCU-32S CH340 Ai-Thinker (01 đầu dò + 01 khối mặt đất)</t>
  </si>
  <si>
    <t>Cái</t>
  </si>
  <si>
    <t>Mở trang sản phẩm</t>
  </si>
  <si>
    <t>✅ Đã xác minh - Hshop.vn (190.000đ/cái, kiểm tra 22/9/2026)</t>
  </si>
  <si>
    <t>Cảm biến oxy điện hoá 0–25 %Vol kèm mạch khuếch đại (ME2-O2 hoặc tương đương)</t>
  </si>
  <si>
    <t>Cảm biến khí CO MQ-7</t>
  </si>
  <si>
    <t>✅ Đã xác minh - Hshop.vn (19.000đ, kiểm tra 22/9/2026)</t>
  </si>
  <si>
    <t>Cảm biến khí cháy MQ-4</t>
  </si>
  <si>
    <t>Cảm biến nhiệt độ – độ ẩm DHT22 (AM2302)</t>
  </si>
  <si>
    <t>Màn hình OLED 0.96 inch giao tiếp I2C (SSD1306/SSD1315, 128x64)</t>
  </si>
  <si>
    <t>✅ Đã xác minh - Hshop.vn (65.000đ, còn hàng, driver SSD1315, kiểm tra 22/9/2026)</t>
  </si>
  <si>
    <t>Module truyền dữ liệu xa MAX485</t>
  </si>
  <si>
    <t>Đế pin đôi (khung giữ 2 cell 18650)</t>
  </si>
  <si>
    <t>Bộ</t>
  </si>
  <si>
    <t>⚠ Chưa xác minh giá đúng loại đế rời — trang này là mạch shield tích hợp, có thể không đúng ý; nên kiểm tra lại khi mua.</t>
  </si>
  <si>
    <t>Pin 18650 3000 mAh</t>
  </si>
  <si>
    <t>Module sạc &amp; bảo vệ pin Li-ion 2S (BMS 7,4–8,4V) và mạch hạ áp (buck) LM2596/MP1584 xuống 5V</t>
  </si>
  <si>
    <t>Không có link</t>
  </si>
  <si>
    <t>⚠ Không có link xác thực trên Hshop/Thegioiic cho đúng combo BMS 2S + buck khi tìm kiếm — giá 55.000đ là ước tính (BMS 2S ~35.000đ + buck LM2596/MP1584 ~20.000đ). Nên hỏi trực tiếp Hshop qua Zalo OA để có link/mã hàng chính xác.</t>
  </si>
  <si>
    <t>Còi chip 5V, đèn LED 3 màu, nút nhấn, điện trở</t>
  </si>
  <si>
    <t>⚠ Không có link xác thực - mua rời tại Hshop hoặc cửa hàng linh kiện.</t>
  </si>
  <si>
    <t>Cáp 4 lõi có vỏ bọc, dài 20 m</t>
  </si>
  <si>
    <t>Mét</t>
  </si>
  <si>
    <t>⚠ Không có link xác thực trên Hshop/Thegioiic.</t>
  </si>
  <si>
    <t>Hộp chống va đập, màng kỵ nước PTFE, dây thừng 20 m, phụ kiện cơ khí</t>
  </si>
  <si>
    <t>⚠ Không có link xác thực - tổ hợp nhiều món, mua rời tại cửa hàng vật liệu/ngũ kim.</t>
  </si>
  <si>
    <t>Dây điện đơn/đa lõi (dây tín hiệu + nguồn) nối các cảm biến trong hộp, ~10 m</t>
  </si>
  <si>
    <t>⚠ Vật tư lắp ráp cơ bản bị thiếu ở v3 — bổ sung theo yêu cầu. Chưa có link xác thực.</t>
  </si>
  <si>
    <t>Thiếc hàn + nhựa thông (tiêu hao khi hàn mạch)</t>
  </si>
  <si>
    <t>Cuộn</t>
  </si>
  <si>
    <t>Điện trở kéo lên các loại (4.7k–10kΩ) cho DHT22/MAX485</t>
  </si>
  <si>
    <t>Gói</t>
  </si>
  <si>
    <t>Ống co nhiệt các cỡ (bộ)</t>
  </si>
  <si>
    <t>CỘNG MỤC A</t>
  </si>
  <si>
    <t>Ghi chú quan trọng (v4):</t>
  </si>
  <si>
    <t>- Mục 10: đã đổi TP4056 (1S) + MT3608 (tăng áp) → module sạc/bảo vệ 2S (BMS) + mạch HẠ áp LM2596/MP1584, đúng với pin 18650 đấu nối tiếp 7,4V.</t>
  </si>
  <si>
    <t>- Đã thêm 4 dòng vật tư lắp ráp cơ bản (dây điện, thiếc hàn, điện trở, ống co nhiệt) — tổng thêm khoảng 85.000đ.</t>
  </si>
  <si>
    <t>- Chỉ 3 mục có link đã bấm xác nhận còn bán đúng giá: ESP32, MQ-7, OLED (đều trên Hshop.vn). Các mục còn lại: 'Không có link' đúng như đã dặn, hoặc có link nhưng CHƯA xác minh (ghi rõ trong cột trạng thái) — cần tự kiểm tra lại trước khi đặt mua.</t>
  </si>
  <si>
    <t>- Gợi ý: nhắn Zalo OA Hshop (0938.022.500) hỏi mã hàng MQ-4, DHT22, MAX485, BMS 2S, mạch hạ áp, đế pin 18650 — catalog đầy đủ của họ không lộ hết qua tìm kiếm web.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</si>
</sst>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i/>
      <sz val="10"/>
      <color rgb="FF999999"/>
      <name val="Arial"/>
      <charset val="1"/>
    </font>
    <font>
      <b/>
      <sz val="11"/>
      <name val="Arial"/>
      <charset val="1"/>
    </font>
    <font>
      <b/>
      <sz val="11"/>
      <color rgb="FFC00000"/>
      <name val="Arial"/>
      <charset val="1"/>
    </font>
    <font>
      <b/>
      <sz val="9"/>
      <color rgb="FF555555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5395"/>
        <bgColor rgb="FF0563C1"/>
      </patternFill>
    </fill>
    <fill>
      <patternFill patternType="solid">
        <fgColor rgb="FF4472C4"/>
        <bgColor rgb="FF2E5395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9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right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8" fillId="4" borderId="1" xfId="0" applyNumberFormat="1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entuduchuy.com/products/mach-shield-pin-18650-loai-2-cell-cap-sac" TargetMode="External"/><Relationship Id="rId3" Type="http://schemas.openxmlformats.org/officeDocument/2006/relationships/hyperlink" Target="https://hshop.vn/cam-bien-khi-co-mq-7" TargetMode="External"/><Relationship Id="rId7" Type="http://schemas.openxmlformats.org/officeDocument/2006/relationships/hyperlink" Target="https://linhkienviet.vn/module-max485" TargetMode="External"/><Relationship Id="rId2" Type="http://schemas.openxmlformats.org/officeDocument/2006/relationships/hyperlink" Target="https://mlab.com.vn/cam-bien-do-khi-oxy-trong-khong-khi-0-25vol-i2c-electrochemical-oxygen-sensor-dfrobot-mlab-com-vn" TargetMode="External"/><Relationship Id="rId1" Type="http://schemas.openxmlformats.org/officeDocument/2006/relationships/hyperlink" Target="https://hshop.vn/kit-rf-thu-phat-wifi-ble-esp32-nodemcu-32s-ch340-ai-thinker" TargetMode="External"/><Relationship Id="rId6" Type="http://schemas.openxmlformats.org/officeDocument/2006/relationships/hyperlink" Target="https://hshop.vn/lcd-oled-trang-0-96-inch-i2c" TargetMode="External"/><Relationship Id="rId5" Type="http://schemas.openxmlformats.org/officeDocument/2006/relationships/hyperlink" Target="https://dientutuyetnga.com/products/cam-bien-do-am-nhiet-do-dht22-am2302" TargetMode="External"/><Relationship Id="rId4" Type="http://schemas.openxmlformats.org/officeDocument/2006/relationships/hyperlink" Target="https://lkcg.vn/cam-bien-khi-cha-y-mq-4-metan-butan-propan" TargetMode="External"/><Relationship Id="rId9" Type="http://schemas.openxmlformats.org/officeDocument/2006/relationships/hyperlink" Target="https://dammesangtao.com/26024/cell-pin-18650-dmegc-li-ion-37v-3000mah-10c-xa-30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pane ySplit="3" topLeftCell="A4" activePane="bottomLeft" state="frozen"/>
      <selection pane="bottomLeft" activeCell="G5" sqref="G5"/>
    </sheetView>
  </sheetViews>
  <sheetFormatPr defaultColWidth="8.68359375" defaultRowHeight="14.4" x14ac:dyDescent="0.55000000000000004"/>
  <cols>
    <col min="1" max="1" width="6" customWidth="1"/>
    <col min="2" max="2" width="46" customWidth="1"/>
    <col min="3" max="3" width="8" customWidth="1"/>
    <col min="4" max="4" width="6" customWidth="1"/>
    <col min="5" max="5" width="13" customWidth="1"/>
    <col min="6" max="6" width="15" customWidth="1"/>
    <col min="7" max="7" width="16" customWidth="1"/>
    <col min="8" max="8" width="50" customWidth="1"/>
  </cols>
  <sheetData>
    <row r="1" spans="1:8" ht="24" customHeight="1" x14ac:dyDescent="0.55000000000000004">
      <c r="A1" s="4" t="s">
        <v>0</v>
      </c>
      <c r="B1" s="4"/>
      <c r="C1" s="4"/>
      <c r="D1" s="4"/>
      <c r="E1" s="4"/>
      <c r="F1" s="4"/>
      <c r="G1" s="4"/>
      <c r="H1" s="4"/>
    </row>
    <row r="2" spans="1:8" ht="48" customHeight="1" x14ac:dyDescent="0.55000000000000004">
      <c r="A2" s="3" t="s">
        <v>1</v>
      </c>
      <c r="B2" s="3"/>
      <c r="C2" s="3"/>
      <c r="D2" s="3"/>
      <c r="E2" s="3"/>
      <c r="F2" s="3"/>
      <c r="G2" s="3"/>
      <c r="H2" s="3"/>
    </row>
    <row r="3" spans="1:8" x14ac:dyDescent="0.5500000000000000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ht="24.6" x14ac:dyDescent="0.55000000000000004">
      <c r="A4" s="6">
        <v>1</v>
      </c>
      <c r="B4" s="7" t="s">
        <v>10</v>
      </c>
      <c r="C4" s="6" t="s">
        <v>11</v>
      </c>
      <c r="D4" s="6">
        <v>2</v>
      </c>
      <c r="E4" s="8">
        <v>190000</v>
      </c>
      <c r="F4" s="8">
        <f t="shared" ref="F4:F20" si="0">D4*E4</f>
        <v>380000</v>
      </c>
      <c r="G4" s="9" t="s">
        <v>12</v>
      </c>
      <c r="H4" s="7" t="s">
        <v>13</v>
      </c>
    </row>
    <row r="5" spans="1:8" ht="24.6" x14ac:dyDescent="0.55000000000000004">
      <c r="A5" s="6">
        <v>2</v>
      </c>
      <c r="B5" s="7" t="s">
        <v>14</v>
      </c>
      <c r="C5" s="6" t="s">
        <v>11</v>
      </c>
      <c r="D5" s="6">
        <v>1</v>
      </c>
      <c r="E5" s="8">
        <v>1450000</v>
      </c>
      <c r="F5" s="8">
        <f t="shared" si="0"/>
        <v>1450000</v>
      </c>
      <c r="G5" s="9" t="s">
        <v>12</v>
      </c>
      <c r="H5" s="7"/>
    </row>
    <row r="6" spans="1:8" x14ac:dyDescent="0.55000000000000004">
      <c r="A6" s="6">
        <v>3</v>
      </c>
      <c r="B6" s="7" t="s">
        <v>15</v>
      </c>
      <c r="C6" s="6" t="s">
        <v>11</v>
      </c>
      <c r="D6" s="6">
        <v>1</v>
      </c>
      <c r="E6" s="8">
        <v>19000</v>
      </c>
      <c r="F6" s="8">
        <f t="shared" si="0"/>
        <v>19000</v>
      </c>
      <c r="G6" s="9" t="s">
        <v>12</v>
      </c>
      <c r="H6" s="7" t="s">
        <v>16</v>
      </c>
    </row>
    <row r="7" spans="1:8" x14ac:dyDescent="0.55000000000000004">
      <c r="A7" s="6">
        <v>4</v>
      </c>
      <c r="B7" s="7" t="s">
        <v>17</v>
      </c>
      <c r="C7" s="6" t="s">
        <v>11</v>
      </c>
      <c r="D7" s="6">
        <v>1</v>
      </c>
      <c r="E7" s="8">
        <v>50000</v>
      </c>
      <c r="F7" s="8">
        <f t="shared" si="0"/>
        <v>50000</v>
      </c>
      <c r="G7" s="9" t="s">
        <v>12</v>
      </c>
      <c r="H7" s="7"/>
    </row>
    <row r="8" spans="1:8" x14ac:dyDescent="0.55000000000000004">
      <c r="A8" s="6">
        <v>5</v>
      </c>
      <c r="B8" s="7" t="s">
        <v>18</v>
      </c>
      <c r="C8" s="6" t="s">
        <v>11</v>
      </c>
      <c r="D8" s="6">
        <v>1</v>
      </c>
      <c r="E8" s="8">
        <v>100000</v>
      </c>
      <c r="F8" s="8">
        <f t="shared" si="0"/>
        <v>100000</v>
      </c>
      <c r="G8" s="9" t="s">
        <v>12</v>
      </c>
      <c r="H8" s="7"/>
    </row>
    <row r="9" spans="1:8" ht="24.6" x14ac:dyDescent="0.55000000000000004">
      <c r="A9" s="6">
        <v>6</v>
      </c>
      <c r="B9" s="7" t="s">
        <v>19</v>
      </c>
      <c r="C9" s="6" t="s">
        <v>11</v>
      </c>
      <c r="D9" s="6">
        <v>1</v>
      </c>
      <c r="E9" s="8">
        <v>65000</v>
      </c>
      <c r="F9" s="8">
        <f t="shared" si="0"/>
        <v>65000</v>
      </c>
      <c r="G9" s="9" t="s">
        <v>12</v>
      </c>
      <c r="H9" s="7" t="s">
        <v>20</v>
      </c>
    </row>
    <row r="10" spans="1:8" x14ac:dyDescent="0.55000000000000004">
      <c r="A10" s="6">
        <v>7</v>
      </c>
      <c r="B10" s="7" t="s">
        <v>21</v>
      </c>
      <c r="C10" s="6" t="s">
        <v>11</v>
      </c>
      <c r="D10" s="6">
        <v>2</v>
      </c>
      <c r="E10" s="8">
        <v>20000</v>
      </c>
      <c r="F10" s="8">
        <f t="shared" si="0"/>
        <v>40000</v>
      </c>
      <c r="G10" s="9" t="s">
        <v>12</v>
      </c>
      <c r="H10" s="7"/>
    </row>
    <row r="11" spans="1:8" ht="24.6" x14ac:dyDescent="0.55000000000000004">
      <c r="A11" s="6">
        <v>8</v>
      </c>
      <c r="B11" s="7" t="s">
        <v>22</v>
      </c>
      <c r="C11" s="6" t="s">
        <v>23</v>
      </c>
      <c r="D11" s="6">
        <v>1</v>
      </c>
      <c r="E11" s="8">
        <v>95000</v>
      </c>
      <c r="F11" s="8">
        <f t="shared" si="0"/>
        <v>95000</v>
      </c>
      <c r="G11" s="9" t="s">
        <v>12</v>
      </c>
      <c r="H11" s="7" t="s">
        <v>24</v>
      </c>
    </row>
    <row r="12" spans="1:8" x14ac:dyDescent="0.55000000000000004">
      <c r="A12" s="6">
        <v>9</v>
      </c>
      <c r="B12" s="7" t="s">
        <v>25</v>
      </c>
      <c r="C12" s="6" t="s">
        <v>23</v>
      </c>
      <c r="D12" s="6">
        <v>2</v>
      </c>
      <c r="E12" s="8">
        <v>45000</v>
      </c>
      <c r="F12" s="8">
        <f t="shared" si="0"/>
        <v>90000</v>
      </c>
      <c r="G12" s="9" t="s">
        <v>12</v>
      </c>
      <c r="H12" s="7"/>
    </row>
    <row r="13" spans="1:8" ht="49.2" x14ac:dyDescent="0.55000000000000004">
      <c r="A13" s="6">
        <v>10</v>
      </c>
      <c r="B13" s="7" t="s">
        <v>26</v>
      </c>
      <c r="C13" s="6" t="s">
        <v>23</v>
      </c>
      <c r="D13" s="6">
        <v>1</v>
      </c>
      <c r="E13" s="8">
        <v>55000</v>
      </c>
      <c r="F13" s="8">
        <f t="shared" si="0"/>
        <v>55000</v>
      </c>
      <c r="G13" s="10" t="s">
        <v>27</v>
      </c>
      <c r="H13" s="7" t="s">
        <v>28</v>
      </c>
    </row>
    <row r="14" spans="1:8" ht="24.6" x14ac:dyDescent="0.55000000000000004">
      <c r="A14" s="6">
        <v>11</v>
      </c>
      <c r="B14" s="7" t="s">
        <v>29</v>
      </c>
      <c r="C14" s="6" t="s">
        <v>23</v>
      </c>
      <c r="D14" s="6">
        <v>1</v>
      </c>
      <c r="E14" s="8">
        <v>100000</v>
      </c>
      <c r="F14" s="8">
        <f t="shared" si="0"/>
        <v>100000</v>
      </c>
      <c r="G14" s="10" t="s">
        <v>27</v>
      </c>
      <c r="H14" s="7" t="s">
        <v>30</v>
      </c>
    </row>
    <row r="15" spans="1:8" x14ac:dyDescent="0.55000000000000004">
      <c r="A15" s="6">
        <v>12</v>
      </c>
      <c r="B15" s="7" t="s">
        <v>31</v>
      </c>
      <c r="C15" s="6" t="s">
        <v>32</v>
      </c>
      <c r="D15" s="6">
        <v>20</v>
      </c>
      <c r="E15" s="8">
        <v>8000</v>
      </c>
      <c r="F15" s="8">
        <f t="shared" si="0"/>
        <v>160000</v>
      </c>
      <c r="G15" s="10" t="s">
        <v>27</v>
      </c>
      <c r="H15" s="7" t="s">
        <v>33</v>
      </c>
    </row>
    <row r="16" spans="1:8" ht="24.6" x14ac:dyDescent="0.55000000000000004">
      <c r="A16" s="6">
        <v>13</v>
      </c>
      <c r="B16" s="7" t="s">
        <v>34</v>
      </c>
      <c r="C16" s="6" t="s">
        <v>23</v>
      </c>
      <c r="D16" s="6">
        <v>1</v>
      </c>
      <c r="E16" s="8">
        <v>280000</v>
      </c>
      <c r="F16" s="8">
        <f t="shared" si="0"/>
        <v>280000</v>
      </c>
      <c r="G16" s="10" t="s">
        <v>27</v>
      </c>
      <c r="H16" s="7" t="s">
        <v>35</v>
      </c>
    </row>
    <row r="17" spans="1:8" ht="24.6" x14ac:dyDescent="0.55000000000000004">
      <c r="A17" s="6">
        <v>14</v>
      </c>
      <c r="B17" s="7" t="s">
        <v>36</v>
      </c>
      <c r="C17" s="6" t="s">
        <v>32</v>
      </c>
      <c r="D17" s="6">
        <v>10</v>
      </c>
      <c r="E17" s="8">
        <v>3000</v>
      </c>
      <c r="F17" s="8">
        <f t="shared" si="0"/>
        <v>30000</v>
      </c>
      <c r="G17" s="10" t="s">
        <v>27</v>
      </c>
      <c r="H17" s="7" t="s">
        <v>37</v>
      </c>
    </row>
    <row r="18" spans="1:8" ht="24.6" x14ac:dyDescent="0.55000000000000004">
      <c r="A18" s="6">
        <v>15</v>
      </c>
      <c r="B18" s="7" t="s">
        <v>38</v>
      </c>
      <c r="C18" s="6" t="s">
        <v>39</v>
      </c>
      <c r="D18" s="6">
        <v>1</v>
      </c>
      <c r="E18" s="8">
        <v>25000</v>
      </c>
      <c r="F18" s="8">
        <f t="shared" si="0"/>
        <v>25000</v>
      </c>
      <c r="G18" s="10" t="s">
        <v>27</v>
      </c>
      <c r="H18" s="7" t="s">
        <v>37</v>
      </c>
    </row>
    <row r="19" spans="1:8" ht="24.6" x14ac:dyDescent="0.55000000000000004">
      <c r="A19" s="6">
        <v>16</v>
      </c>
      <c r="B19" s="7" t="s">
        <v>40</v>
      </c>
      <c r="C19" s="6" t="s">
        <v>41</v>
      </c>
      <c r="D19" s="6">
        <v>1</v>
      </c>
      <c r="E19" s="8">
        <v>10000</v>
      </c>
      <c r="F19" s="8">
        <f t="shared" si="0"/>
        <v>10000</v>
      </c>
      <c r="G19" s="10" t="s">
        <v>27</v>
      </c>
      <c r="H19" s="7" t="s">
        <v>37</v>
      </c>
    </row>
    <row r="20" spans="1:8" ht="24.6" x14ac:dyDescent="0.55000000000000004">
      <c r="A20" s="6">
        <v>17</v>
      </c>
      <c r="B20" s="7" t="s">
        <v>42</v>
      </c>
      <c r="C20" s="6" t="s">
        <v>23</v>
      </c>
      <c r="D20" s="6">
        <v>1</v>
      </c>
      <c r="E20" s="8">
        <v>20000</v>
      </c>
      <c r="F20" s="8">
        <f t="shared" si="0"/>
        <v>20000</v>
      </c>
      <c r="G20" s="10" t="s">
        <v>27</v>
      </c>
      <c r="H20" s="7" t="s">
        <v>37</v>
      </c>
    </row>
    <row r="21" spans="1:8" x14ac:dyDescent="0.55000000000000004">
      <c r="A21" s="2" t="s">
        <v>43</v>
      </c>
      <c r="B21" s="2"/>
      <c r="C21" s="2"/>
      <c r="D21" s="2"/>
      <c r="E21" s="2"/>
      <c r="F21" s="11">
        <f>SUM(F4:F20)</f>
        <v>2969000</v>
      </c>
      <c r="G21" s="12"/>
      <c r="H21" s="12"/>
    </row>
    <row r="23" spans="1:8" ht="15.75" customHeight="1" x14ac:dyDescent="0.55000000000000004">
      <c r="A23" s="1" t="s">
        <v>44</v>
      </c>
      <c r="B23" s="1"/>
      <c r="C23" s="1"/>
      <c r="D23" s="1"/>
      <c r="E23" s="1"/>
      <c r="F23" s="1"/>
      <c r="G23" s="1"/>
      <c r="H23" s="1"/>
    </row>
    <row r="24" spans="1:8" ht="27.75" customHeight="1" x14ac:dyDescent="0.55000000000000004">
      <c r="A24" s="3" t="s">
        <v>45</v>
      </c>
      <c r="B24" s="3"/>
      <c r="C24" s="3"/>
      <c r="D24" s="3"/>
      <c r="E24" s="3"/>
      <c r="F24" s="3"/>
      <c r="G24" s="3"/>
      <c r="H24" s="3"/>
    </row>
    <row r="25" spans="1:8" ht="27.75" customHeight="1" x14ac:dyDescent="0.55000000000000004">
      <c r="A25" s="3" t="s">
        <v>46</v>
      </c>
      <c r="B25" s="3"/>
      <c r="C25" s="3"/>
      <c r="D25" s="3"/>
      <c r="E25" s="3"/>
      <c r="F25" s="3"/>
      <c r="G25" s="3"/>
      <c r="H25" s="3"/>
    </row>
    <row r="26" spans="1:8" ht="27.75" customHeight="1" x14ac:dyDescent="0.55000000000000004">
      <c r="A26" s="3" t="s">
        <v>47</v>
      </c>
      <c r="B26" s="3"/>
      <c r="C26" s="3"/>
      <c r="D26" s="3"/>
      <c r="E26" s="3"/>
      <c r="F26" s="3"/>
      <c r="G26" s="3"/>
      <c r="H26" s="3"/>
    </row>
    <row r="27" spans="1:8" ht="27.75" customHeight="1" x14ac:dyDescent="0.55000000000000004">
      <c r="A27" s="3" t="s">
        <v>48</v>
      </c>
      <c r="B27" s="3"/>
      <c r="C27" s="3"/>
      <c r="D27" s="3"/>
      <c r="E27" s="3"/>
      <c r="F27" s="3"/>
      <c r="G27" s="3"/>
      <c r="H27" s="3"/>
    </row>
  </sheetData>
  <mergeCells count="8">
    <mergeCell ref="A25:H25"/>
    <mergeCell ref="A26:H26"/>
    <mergeCell ref="A27:H27"/>
    <mergeCell ref="A1:H1"/>
    <mergeCell ref="A2:H2"/>
    <mergeCell ref="A21:E21"/>
    <mergeCell ref="A23:H23"/>
    <mergeCell ref="A24:H24"/>
  </mergeCells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Muc A - Vat tu chinh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Vân Anh</cp:lastModifiedBy>
  <cp:revision>0</cp:revision>
  <dcterms:created xsi:type="dcterms:W3CDTF">2026-09-24T02:24:28Z</dcterms:created>
  <dcterms:modified xsi:type="dcterms:W3CDTF">2026-09-24T05:43:34Z</dcterms:modified>
  <dc:language>en-US</dc:language>
</cp:coreProperties>
</file>